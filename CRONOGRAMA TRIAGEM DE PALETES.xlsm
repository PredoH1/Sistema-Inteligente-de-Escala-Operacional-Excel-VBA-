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Y:\Logistica\Logistica Reversa\01 - Indicadores\01 - Gestão à vista\03 - Cronograma de Triagem de Paletes\"/>
    </mc:Choice>
  </mc:AlternateContent>
  <xr:revisionPtr revIDLastSave="0" documentId="13_ncr:1_{A3DAD8A3-1CD2-4F23-8659-E265D740360E}" xr6:coauthVersionLast="47" xr6:coauthVersionMax="47" xr10:uidLastSave="{00000000-0000-0000-0000-000000000000}"/>
  <bookViews>
    <workbookView xWindow="-120" yWindow="-120" windowWidth="29040" windowHeight="15720" tabRatio="500" activeTab="3" xr2:uid="{00000000-000D-0000-FFFF-FFFF00000000}"/>
  </bookViews>
  <sheets>
    <sheet name="ESCALA" sheetId="1" r:id="rId1"/>
    <sheet name="COLABORADORES" sheetId="2" state="hidden" r:id="rId2"/>
    <sheet name="HISTORICO" sheetId="3" r:id="rId3"/>
    <sheet name="INDICADORES" sheetId="7" r:id="rId4"/>
    <sheet name="FERIADOS + FOLGAS" sheetId="4" state="hidden" r:id="rId5"/>
    <sheet name="CALC_AUX" sheetId="5" state="hidden" r:id="rId6"/>
    <sheet name="INSTRUCOES" sheetId="6" state="hidden" r:id="rId7"/>
  </sheets>
  <functionGroups builtInGroupCount="19"/>
  <definedNames>
    <definedName name="_xlnm._FilterDatabase" localSheetId="2" hidden="1">HISTORICO!$A$1:$E$1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A1" i="5"/>
  <c r="A6" i="5" s="1"/>
  <c r="C6" i="5" s="1"/>
  <c r="E7" i="3"/>
  <c r="A2" i="5" l="1"/>
  <c r="C2" i="5" s="1"/>
  <c r="A3" i="5"/>
  <c r="C3" i="5" s="1"/>
  <c r="A4" i="5"/>
  <c r="C4" i="5" s="1"/>
  <c r="A5" i="5"/>
  <c r="C5" i="5" s="1"/>
</calcChain>
</file>

<file path=xl/sharedStrings.xml><?xml version="1.0" encoding="utf-8"?>
<sst xmlns="http://schemas.openxmlformats.org/spreadsheetml/2006/main" count="120" uniqueCount="65">
  <si>
    <t>Dupla</t>
  </si>
  <si>
    <t>Data</t>
  </si>
  <si>
    <t>Auxiliar 1</t>
  </si>
  <si>
    <t>Auxiliar 2</t>
  </si>
  <si>
    <t>Falta?</t>
  </si>
  <si>
    <t>Observação</t>
  </si>
  <si>
    <t>NOME</t>
  </si>
  <si>
    <t>MATRICULA</t>
  </si>
  <si>
    <t>EMPRESA</t>
  </si>
  <si>
    <t>PAULO DAVI</t>
  </si>
  <si>
    <t>SERVILIMP</t>
  </si>
  <si>
    <t>WEDSON BARROS</t>
  </si>
  <si>
    <t>RIVONE SOUZA</t>
  </si>
  <si>
    <t>COTY</t>
  </si>
  <si>
    <t>ISAC SOUZA</t>
  </si>
  <si>
    <t>PEDRO ARAUJO</t>
  </si>
  <si>
    <t>ARLISON</t>
  </si>
  <si>
    <t>SEMANA ATUAL</t>
  </si>
  <si>
    <t>Dia da Semana</t>
  </si>
  <si>
    <t>Descrição</t>
  </si>
  <si>
    <t>Tipo</t>
  </si>
  <si>
    <t>Quinta-feira</t>
  </si>
  <si>
    <t>Confraternização Universal</t>
  </si>
  <si>
    <t>Feriado</t>
  </si>
  <si>
    <t>Sexta-feira</t>
  </si>
  <si>
    <t>Emenda Confraternização Universal</t>
  </si>
  <si>
    <t>Emenda</t>
  </si>
  <si>
    <t>Segunda-feira</t>
  </si>
  <si>
    <t>Carnaval</t>
  </si>
  <si>
    <t>Terça-feira</t>
  </si>
  <si>
    <t>Emenda Carnaval</t>
  </si>
  <si>
    <t>Quarta-feira</t>
  </si>
  <si>
    <t>Quarta-feira de Cinzas</t>
  </si>
  <si>
    <t>Facultativo</t>
  </si>
  <si>
    <t>Paixão de Cristo</t>
  </si>
  <si>
    <t>Emenda Tiradentes</t>
  </si>
  <si>
    <t>Tiradentes</t>
  </si>
  <si>
    <t>Dia do Trabalho</t>
  </si>
  <si>
    <t>Corpus Christi</t>
  </si>
  <si>
    <t>Emenda Corpus Christi</t>
  </si>
  <si>
    <t>Independência do Brasil</t>
  </si>
  <si>
    <t>Nossa Senhora Aparecida</t>
  </si>
  <si>
    <t>Finados</t>
  </si>
  <si>
    <t>Domingo</t>
  </si>
  <si>
    <t>Proclamação da República</t>
  </si>
  <si>
    <t>Consciência Negra</t>
  </si>
  <si>
    <t>Natal</t>
  </si>
  <si>
    <t>SEGUNDA</t>
  </si>
  <si>
    <t>TERÇA</t>
  </si>
  <si>
    <t>QUARTA</t>
  </si>
  <si>
    <t>QUINTA</t>
  </si>
  <si>
    <t>SEXTA</t>
  </si>
  <si>
    <t xml:space="preserve">
╔════════════════════════════════════════════════════════════════════╗
║         SISTEMA DE TRIAGEM DE PALETES - INSTRUÇÕES DE USO          ║
╚════════════════════════════════════════════════════════════════════╝
📅 COMO GERAR A ESCALA SEMANAL:
1. Vá na aba ESCALA
2. Digite a data do primeiro dia útil da semana na célula C1
3. Pressione ENTER
4. O sistema irá:
   ✓ Gerar automaticamente Segunda a Sexta
   ✓ Verificar feriados
   ✓ Bloquear dias com feriado
   ✓ Formar duplas com base no histórico
════════════════════════════════════════════════════════════════════
👥 COMO AS DUPLAS SÃO FORMADAS:
O sistema ordena os colaboradores por:
1º - Quem foi MENOS vezes (prioridade)
2º - Ordem alfabética (em caso de empate)
Exemplo:
- Paulo: 0 vezes  → Trabalha SEGUNDA
- Isac: 0 vezes   → Trabalha SEGUNDA (dupla com Paulo)
- Rivone: 1 vez   → Trabalha TERÇA
- Wedson: 1 vez   → Trabalha TERÇA (dupla com Rivone)
- Pedro: 2 vezes  → Trabalha QUARTA
- Arlison: 2 vezes → Trabalha QUARTA (dupla com Pedro)
════════════════════════════════════════════════════════════════════
❌ COMO GERENCIAR FALTAS:
CENÁRIO: RIVONE faltou na SEGUNDA (estava com ISAC)
1. Na coluna "Falta?", selecione o nome: RIVONE
2. O sistema automaticamente:
   ✓ Substitui RIVONE pelo próximo da fila
   ✓ Reorganiza as duplas dos dias seguintes
REGRA DE SUBSTITUIÇÃO:
- Pega quem tem MENOS idas da PRÓXIMA dupla
- Em caso de empate: ordem alfabética
- O faltoso vai para o lugar do substituto
Exemplo:
ANTES:
SEG: ISAC (1) + RIVONE (1)
TER: PAULO (2) + WEDSON (2)
RIVONE FALTOU ❌
DEPOIS:
SEG: ISAC (1) + PAULO (2)  ← Paulo veio
TER: RIVONE (1) + WEDSON (2) ← Rivone vai no lugar de Paulo
════════════════════════════════════════════════════════════════════
🔄 HISTÓRICO E CONTADOR:
- Aba HISTORICO conta quantas vezes cada um foi
- Zera automaticamente toda semana
- Coluna "SEMANA ATUAL" conta em tempo real
- Usa isso para formar as duplas
════════════════════════════════════════════════════════════════════
🎯 FERIADOS:
- Cadastrados na aba "FERIADOS + FOLGAS"
- Sistema verifica automaticamente
- Linha fica "BLOQUEADO"
- Duplas são redistribuídas para os dias restantes
════════════════════════════════════════════════════════════════════
⚙️ PRÓXIMOS PASSOS (PARA IMPLEMENTAR):
Este arquivo contém a estrutura base. Para automatização completa:
1. Adicionar VBA para ordenar colaboradores por contador
2. Criar macro de substituição automática
3. Adicionar validação de dados na coluna "Falta?"
4. Reset semanal automático do contador
════════════════════════════════════════════════════════════════════
</t>
  </si>
  <si>
    <t>QTD_MES</t>
  </si>
  <si>
    <t>QTD_GERAL</t>
  </si>
  <si>
    <t>CRONOGRAMA DE TRIAGEM DE PALETES</t>
  </si>
  <si>
    <t>QTD_CICLO</t>
  </si>
  <si>
    <t>BLOQUEADO</t>
  </si>
  <si>
    <t>NOMES:</t>
  </si>
  <si>
    <t>jan/26</t>
  </si>
  <si>
    <t>fev/26</t>
  </si>
  <si>
    <t>mar/26</t>
  </si>
  <si>
    <t>ARLISON + ISAC SOUZA</t>
  </si>
  <si>
    <t>PAULO DAVI + PEDRO ARAUJO</t>
  </si>
  <si>
    <t>RIVONE SOUZA + WEDSON BARROS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</si>
</sst>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5" formatCode="dd/mm/yyyy"/>
  </numFmts>
  <fonts count="6" x14ac:knownFonts="1">
    <font>
      <sz val="11"/>
      <color theme="1"/>
      <name val="Calibri"/>
      <family val="2"/>
      <charset val="1"/>
    </font>
    <font>
      <b/>
      <sz val="11"/>
      <color rgb="FFFFFFFF"/>
      <name val="Cambria"/>
      <charset val="1"/>
    </font>
    <font>
      <b/>
      <sz val="12"/>
      <name val="Cambria"/>
      <charset val="1"/>
    </font>
    <font>
      <b/>
      <sz val="16"/>
      <color theme="0"/>
      <name val="Calibri"/>
      <family val="2"/>
      <charset val="1"/>
    </font>
    <font>
      <b/>
      <sz val="11"/>
      <color rgb="FFFFFFFF"/>
      <name val="Cambria"/>
      <family val="1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rgb="FF0066CC"/>
      </patternFill>
    </fill>
    <fill>
      <patternFill patternType="solid">
        <fgColor rgb="FF002060"/>
        <bgColor rgb="FF2E75B6"/>
      </patternFill>
    </fill>
    <fill>
      <patternFill patternType="solid">
        <fgColor rgb="FF002060"/>
        <bgColor rgb="FF0066CC"/>
      </patternFill>
    </fill>
    <fill>
      <patternFill patternType="solid">
        <fgColor rgb="FF00B050"/>
        <bgColor rgb="FFFFFF00"/>
      </patternFill>
    </fill>
    <fill>
      <patternFill patternType="solid">
        <fgColor rgb="FF002060"/>
        <bgColor rgb="FF003366"/>
      </patternFill>
    </fill>
  </fills>
  <borders count="6">
    <border>
      <left/>
      <right/>
      <top/>
      <bottom/>
      <diagonal/>
    </border>
    <border>
      <left style="thin">
        <color theme="4" tint="0.39988402966399123"/>
      </left>
      <right/>
      <top style="thin">
        <color theme="4" tint="0.39988402966399123"/>
      </top>
      <bottom style="thin">
        <color theme="4" tint="0.39988402966399123"/>
      </bottom>
      <diagonal/>
    </border>
    <border>
      <left/>
      <right/>
      <top style="thin">
        <color theme="4" tint="0.39988402966399123"/>
      </top>
      <bottom style="thin">
        <color theme="4" tint="0.39988402966399123"/>
      </bottom>
      <diagonal/>
    </border>
    <border>
      <left/>
      <right style="thin">
        <color theme="4" tint="0.39988402966399123"/>
      </right>
      <top style="thin">
        <color theme="4" tint="0.39988402966399123"/>
      </top>
      <bottom style="thin">
        <color theme="4" tint="0.399884029663991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2" borderId="2" xfId="0" applyFont="1" applyFill="1" applyBorder="1" applyAlignment="1">
      <alignment horizontal="center" vertical="center"/>
    </xf>
    <xf numFmtId="164" fontId="0" fillId="0" borderId="0" xfId="0" applyNumberFormat="1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vertical="top" wrapText="1"/>
    </xf>
    <xf numFmtId="17" fontId="0" fillId="0" borderId="0" xfId="0" applyNumberFormat="1"/>
    <xf numFmtId="14" fontId="2" fillId="5" borderId="4" xfId="0" applyNumberFormat="1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165" fontId="0" fillId="0" borderId="4" xfId="0" applyNumberFormat="1" applyBorder="1" applyAlignment="1">
      <alignment horizontal="center" vertical="center"/>
    </xf>
  </cellXfs>
  <cellStyles count="1">
    <cellStyle name="Normal" xfId="0" builtinId="0"/>
  </cellStyles>
  <dxfs count="5">
    <dxf>
      <numFmt numFmtId="22" formatCode="mmm/yy"/>
    </dxf>
    <dxf>
      <fill>
        <patternFill patternType="solid">
          <fgColor rgb="FF0066CC"/>
          <bgColor rgb="FF002060"/>
        </patternFill>
      </fill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5" tint="0.39994506668294322"/>
        </patternFill>
      </fill>
    </dxf>
    <dxf>
      <font>
        <color theme="1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FCC99"/>
      <rgbColor rgb="FF2E75B6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QTD</a:t>
            </a:r>
            <a:r>
              <a:rPr lang="pt-BR" baseline="0"/>
              <a:t> DIAS TRIADO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INDICADORES!$B$1</c:f>
              <c:strCache>
                <c:ptCount val="1"/>
                <c:pt idx="0">
                  <c:v>jan/26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102000"/>
                    <a:tint val="94000"/>
                  </a:schemeClr>
                </a:gs>
                <a:gs pos="50000">
                  <a:schemeClr val="accent1"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hade val="78000"/>
                  </a:schemeClr>
                </a:gs>
              </a:gsLst>
              <a:lin ang="5400000" scaled="0"/>
              <a:tileRect/>
            </a:gradFill>
            <a:ln>
              <a:noFill/>
            </a:ln>
            <a:effectLst/>
          </c:spPr>
          <c:invertIfNegative val="0"/>
          <c:cat>
            <c:strRef>
              <c:f>INDICADORES!$A$2:$A$7</c:f>
              <c:strCache>
                <c:ptCount val="6"/>
                <c:pt idx="0">
                  <c:v>PAULO DAVI</c:v>
                </c:pt>
                <c:pt idx="1">
                  <c:v>WEDSON BARROS</c:v>
                </c:pt>
                <c:pt idx="2">
                  <c:v>RIVONE SOUZA</c:v>
                </c:pt>
                <c:pt idx="3">
                  <c:v>ISAC SOUZA</c:v>
                </c:pt>
                <c:pt idx="4">
                  <c:v>PEDRO ARAUJO</c:v>
                </c:pt>
                <c:pt idx="5">
                  <c:v>ARLISON</c:v>
                </c:pt>
              </c:strCache>
            </c:strRef>
          </c:cat>
          <c:val>
            <c:numRef>
              <c:f>INDICADORES!$B$2:$B$7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3B-4D6F-9CDA-4594904060A4}"/>
            </c:ext>
          </c:extLst>
        </c:ser>
        <c:ser>
          <c:idx val="1"/>
          <c:order val="1"/>
          <c:tx>
            <c:strRef>
              <c:f>INDICADORES!$C$1</c:f>
              <c:strCache>
                <c:ptCount val="1"/>
                <c:pt idx="0">
                  <c:v>fev/26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102000"/>
                    <a:tint val="94000"/>
                  </a:schemeClr>
                </a:gs>
                <a:gs pos="50000">
                  <a:schemeClr val="accent2"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hade val="78000"/>
                  </a:schemeClr>
                </a:gs>
              </a:gsLst>
              <a:lin ang="5400000" scaled="0"/>
              <a:tileRect/>
            </a:gradFill>
            <a:ln>
              <a:noFill/>
            </a:ln>
            <a:effectLst/>
          </c:spPr>
          <c:invertIfNegative val="0"/>
          <c:cat>
            <c:strRef>
              <c:f>INDICADORES!$A$2:$A$7</c:f>
              <c:strCache>
                <c:ptCount val="6"/>
                <c:pt idx="0">
                  <c:v>PAULO DAVI</c:v>
                </c:pt>
                <c:pt idx="1">
                  <c:v>WEDSON BARROS</c:v>
                </c:pt>
                <c:pt idx="2">
                  <c:v>RIVONE SOUZA</c:v>
                </c:pt>
                <c:pt idx="3">
                  <c:v>ISAC SOUZA</c:v>
                </c:pt>
                <c:pt idx="4">
                  <c:v>PEDRO ARAUJO</c:v>
                </c:pt>
                <c:pt idx="5">
                  <c:v>ARLISON</c:v>
                </c:pt>
              </c:strCache>
            </c:strRef>
          </c:cat>
          <c:val>
            <c:numRef>
              <c:f>INDICADORES!$C$2:$C$7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B-4D6F-9CDA-4594904060A4}"/>
            </c:ext>
          </c:extLst>
        </c:ser>
        <c:ser>
          <c:idx val="2"/>
          <c:order val="2"/>
          <c:tx>
            <c:strRef>
              <c:f>INDICADORES!$D$1</c:f>
              <c:strCache>
                <c:ptCount val="1"/>
                <c:pt idx="0">
                  <c:v>mar/26</c:v>
                </c:pt>
              </c:strCache>
            </c:strRef>
          </c:tx>
          <c:spPr>
            <a:gradFill>
              <a:gsLst>
                <a:gs pos="0">
                  <a:schemeClr val="accent3">
                    <a:lumMod val="102000"/>
                    <a:tint val="94000"/>
                  </a:schemeClr>
                </a:gs>
                <a:gs pos="50000">
                  <a:schemeClr val="accent3"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hade val="78000"/>
                  </a:schemeClr>
                </a:gs>
              </a:gsLst>
              <a:lin ang="5400000" scaled="0"/>
              <a:tileRect/>
            </a:gradFill>
            <a:ln>
              <a:noFill/>
            </a:ln>
            <a:effectLst/>
          </c:spPr>
          <c:invertIfNegative val="0"/>
          <c:cat>
            <c:strRef>
              <c:f>INDICADORES!$A$2:$A$7</c:f>
              <c:strCache>
                <c:ptCount val="6"/>
                <c:pt idx="0">
                  <c:v>PAULO DAVI</c:v>
                </c:pt>
                <c:pt idx="1">
                  <c:v>WEDSON BARROS</c:v>
                </c:pt>
                <c:pt idx="2">
                  <c:v>RIVONE SOUZA</c:v>
                </c:pt>
                <c:pt idx="3">
                  <c:v>ISAC SOUZA</c:v>
                </c:pt>
                <c:pt idx="4">
                  <c:v>PEDRO ARAUJO</c:v>
                </c:pt>
                <c:pt idx="5">
                  <c:v>ARLISON</c:v>
                </c:pt>
              </c:strCache>
            </c:strRef>
          </c:cat>
          <c:val>
            <c:numRef>
              <c:f>INDICADORES!$D$2:$D$7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3B-4D6F-9CDA-45949040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30246688"/>
        <c:axId val="2030247648"/>
      </c:barChart>
      <c:catAx>
        <c:axId val="203024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0247648"/>
        <c:crosses val="autoZero"/>
        <c:auto val="1"/>
        <c:lblAlgn val="ctr"/>
        <c:lblOffset val="100"/>
        <c:noMultiLvlLbl val="0"/>
      </c:catAx>
      <c:valAx>
        <c:axId val="203024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024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2828925</xdr:colOff>
      <xdr:row>0</xdr:row>
      <xdr:rowOff>114300</xdr:rowOff>
    </xdr:from>
    <xdr:to>
      <xdr:col>5</xdr:col>
      <xdr:colOff>3898857</xdr:colOff>
      <xdr:row>0</xdr:row>
      <xdr:rowOff>504825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6D8EF8EB-765F-99C3-B244-A1B9FA30B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91800" y="114300"/>
          <a:ext cx="1069932" cy="390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76200</xdr:rowOff>
        </xdr:from>
        <xdr:to>
          <xdr:col>4</xdr:col>
          <xdr:colOff>19050</xdr:colOff>
          <xdr:row>0</xdr:row>
          <xdr:rowOff>466725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FINALIZAR 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0</xdr:row>
          <xdr:rowOff>76200</xdr:rowOff>
        </xdr:from>
        <xdr:to>
          <xdr:col>5</xdr:col>
          <xdr:colOff>1076325</xdr:colOff>
          <xdr:row>0</xdr:row>
          <xdr:rowOff>466725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FINALIZAR MÊS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42862</xdr:rowOff>
    </xdr:from>
    <xdr:to>
      <xdr:col>6</xdr:col>
      <xdr:colOff>390525</xdr:colOff>
      <xdr:row>23</xdr:row>
      <xdr:rowOff>119062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5B521F5-FF79-B605-F80B-5F28C3D332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C7" totalsRowShown="0" headerRowDxfId="1">
  <autoFilter ref="A1:C7" xr:uid="{00000000-0009-0000-0100-000001000000}"/>
  <tableColumns count="3">
    <tableColumn id="1" xr3:uid="{00000000-0010-0000-0000-000001000000}" name="NOME"/>
    <tableColumn id="2" xr3:uid="{00000000-0010-0000-0000-000002000000}" name="MATRICULA"/>
    <tableColumn id="3" xr3:uid="{00000000-0010-0000-0000-000003000000}" name="EMPRESA"/>
  </tableColumns>
  <tableStyleInfo name="TableStyleDark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183A69-4D86-41A8-95DA-17CDF68C90C0}" name="Tabela2" displayName="Tabela2" ref="A1:D7" totalsRowShown="0" headerRowDxfId="0">
  <autoFilter ref="A1:D7" xr:uid="{18183A69-4D86-41A8-95DA-17CDF68C90C0}"/>
  <tableColumns count="4">
    <tableColumn id="1" xr3:uid="{65C350FF-5A2A-474D-A26C-693D5720FC33}" name="NOMES:"/>
    <tableColumn id="2" xr3:uid="{7F635277-8AAD-4D0F-86C3-A2526977A294}" name="jan/26"/>
    <tableColumn id="3" xr3:uid="{40433954-3015-476F-A9B8-68F867FCC578}" name="fev/26"/>
    <tableColumn id="4" xr3:uid="{9B93F6A6-73E1-4687-AF48-BE258C782486}" name="mar/26"/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G11"/>
  <sheetViews>
    <sheetView zoomScaleNormal="100" workbookViewId="0">
      <selection activeCell="E14" sqref="E14"/>
    </sheetView>
  </sheetViews>
  <sheetFormatPr defaultColWidth="8.7109375" defaultRowHeight="15" x14ac:dyDescent="0.25"/>
  <cols>
    <col min="1" max="1" width="20.140625" customWidth="1"/>
    <col min="2" max="2" width="24.5703125" customWidth="1"/>
    <col min="3" max="3" width="23.140625" customWidth="1"/>
    <col min="4" max="4" width="33.5703125" customWidth="1"/>
    <col min="5" max="5" width="15" customWidth="1"/>
    <col min="6" max="6" width="60.140625" customWidth="1"/>
    <col min="7" max="7" width="10.7109375" customWidth="1"/>
  </cols>
  <sheetData>
    <row r="1" spans="1:7" ht="47.25" customHeight="1" x14ac:dyDescent="0.25">
      <c r="A1" s="18" t="s">
        <v>55</v>
      </c>
      <c r="B1" s="18"/>
      <c r="C1" s="12">
        <v>46132</v>
      </c>
      <c r="D1" s="19"/>
      <c r="E1" s="19"/>
      <c r="F1" s="19"/>
    </row>
    <row r="2" spans="1:7" ht="15" customHeight="1" x14ac:dyDescent="0.25">
      <c r="A2" s="20"/>
      <c r="B2" s="20"/>
      <c r="C2" s="20"/>
      <c r="D2" s="20"/>
      <c r="E2" s="20"/>
      <c r="F2" s="20"/>
      <c r="G2" s="2"/>
    </row>
    <row r="3" spans="1:7" s="5" customFormat="1" ht="20.25" customHeight="1" x14ac:dyDescent="0.25">
      <c r="A3" s="13" t="s">
        <v>1</v>
      </c>
      <c r="B3" s="13" t="s">
        <v>2</v>
      </c>
      <c r="C3" s="13" t="s">
        <v>3</v>
      </c>
      <c r="D3" s="13" t="s">
        <v>0</v>
      </c>
      <c r="E3" s="13" t="s">
        <v>4</v>
      </c>
      <c r="F3" s="13" t="s">
        <v>5</v>
      </c>
      <c r="G3" s="8"/>
    </row>
    <row r="4" spans="1:7" s="5" customFormat="1" ht="20.25" customHeight="1" x14ac:dyDescent="0.25">
      <c r="A4" s="21">
        <v>46132</v>
      </c>
      <c r="B4" s="3"/>
      <c r="C4" s="3"/>
      <c r="D4" s="3" t="s">
        <v>57</v>
      </c>
      <c r="E4" s="3"/>
      <c r="F4" s="3" t="s">
        <v>35</v>
      </c>
      <c r="G4" s="8"/>
    </row>
    <row r="5" spans="1:7" s="5" customFormat="1" ht="20.25" customHeight="1" x14ac:dyDescent="0.25">
      <c r="A5" s="21">
        <v>46133</v>
      </c>
      <c r="B5" s="3"/>
      <c r="C5" s="3"/>
      <c r="D5" s="3" t="s">
        <v>57</v>
      </c>
      <c r="E5" s="3"/>
      <c r="F5" s="3" t="s">
        <v>36</v>
      </c>
      <c r="G5" s="8"/>
    </row>
    <row r="6" spans="1:7" s="5" customFormat="1" ht="20.25" customHeight="1" x14ac:dyDescent="0.25">
      <c r="A6" s="21">
        <v>46134</v>
      </c>
      <c r="B6" s="3" t="s">
        <v>16</v>
      </c>
      <c r="C6" s="3" t="s">
        <v>14</v>
      </c>
      <c r="D6" s="3" t="s">
        <v>62</v>
      </c>
      <c r="E6" s="3"/>
      <c r="F6" s="3"/>
      <c r="G6" s="8"/>
    </row>
    <row r="7" spans="1:7" s="5" customFormat="1" ht="20.25" customHeight="1" x14ac:dyDescent="0.25">
      <c r="A7" s="21">
        <v>46135</v>
      </c>
      <c r="B7" s="3" t="s">
        <v>9</v>
      </c>
      <c r="C7" s="3" t="s">
        <v>15</v>
      </c>
      <c r="D7" s="3" t="s">
        <v>63</v>
      </c>
      <c r="E7" s="3"/>
      <c r="F7" s="3"/>
      <c r="G7" s="8"/>
    </row>
    <row r="8" spans="1:7" s="5" customFormat="1" ht="20.25" customHeight="1" x14ac:dyDescent="0.25">
      <c r="A8" s="21">
        <v>46136</v>
      </c>
      <c r="B8" s="3" t="s">
        <v>12</v>
      </c>
      <c r="C8" s="3" t="s">
        <v>11</v>
      </c>
      <c r="D8" s="3" t="s">
        <v>64</v>
      </c>
      <c r="E8" s="3"/>
      <c r="F8" s="3"/>
      <c r="G8" s="8"/>
    </row>
    <row r="9" spans="1:7" ht="15" customHeight="1" x14ac:dyDescent="0.25">
      <c r="G9" s="2"/>
    </row>
    <row r="10" spans="1:7" ht="15" customHeight="1" x14ac:dyDescent="0.25">
      <c r="G10" s="2"/>
    </row>
    <row r="11" spans="1:7" ht="15" customHeight="1" x14ac:dyDescent="0.25">
      <c r="G11" s="2"/>
    </row>
  </sheetData>
  <mergeCells count="3">
    <mergeCell ref="A1:B1"/>
    <mergeCell ref="D1:F1"/>
    <mergeCell ref="A2:F2"/>
  </mergeCells>
  <conditionalFormatting sqref="D4:D8">
    <cfRule type="cellIs" dxfId="4" priority="2" operator="equal">
      <formula>"BLOQUEADO"</formula>
    </cfRule>
    <cfRule type="cellIs" dxfId="3" priority="3" operator="equal">
      <formula>"BLOQUEADO"</formula>
    </cfRule>
  </conditionalFormatting>
  <conditionalFormatting sqref="B4:C8">
    <cfRule type="cellIs" dxfId="2" priority="1" operator="equal">
      <formula>$D$4</formula>
    </cfRule>
  </conditionalFormatting>
  <pageMargins left="0.7" right="0.7" top="0.75" bottom="0.75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nalizarSemana">
                <anchor moveWithCells="1" sizeWithCells="1">
                  <from>
                    <xdr:col>3</xdr:col>
                    <xdr:colOff>409575</xdr:colOff>
                    <xdr:row>0</xdr:row>
                    <xdr:rowOff>76200</xdr:rowOff>
                  </from>
                  <to>
                    <xdr:col>4</xdr:col>
                    <xdr:colOff>19050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echarMes">
                <anchor moveWithCells="1" sizeWithCells="1">
                  <from>
                    <xdr:col>4</xdr:col>
                    <xdr:colOff>180975</xdr:colOff>
                    <xdr:row>0</xdr:row>
                    <xdr:rowOff>76200</xdr:rowOff>
                  </from>
                  <to>
                    <xdr:col>5</xdr:col>
                    <xdr:colOff>1076325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7"/>
  <sheetViews>
    <sheetView zoomScaleNormal="100" workbookViewId="0">
      <selection activeCell="E20" sqref="E20"/>
    </sheetView>
  </sheetViews>
  <sheetFormatPr defaultColWidth="8.7109375" defaultRowHeight="15" x14ac:dyDescent="0.25"/>
  <cols>
    <col min="1" max="1" width="26.85546875" customWidth="1"/>
    <col min="2" max="2" width="23.85546875" customWidth="1"/>
    <col min="3" max="3" width="15.85546875" customWidth="1"/>
  </cols>
  <sheetData>
    <row r="1" spans="1:3" ht="19.5" customHeight="1" x14ac:dyDescent="0.25">
      <c r="A1" s="14" t="s">
        <v>6</v>
      </c>
      <c r="B1" s="14" t="s">
        <v>7</v>
      </c>
      <c r="C1" s="14" t="s">
        <v>8</v>
      </c>
    </row>
    <row r="2" spans="1:3" ht="15" customHeight="1" x14ac:dyDescent="0.25">
      <c r="A2" s="3" t="s">
        <v>9</v>
      </c>
      <c r="B2" s="3">
        <v>0</v>
      </c>
      <c r="C2" s="3" t="s">
        <v>10</v>
      </c>
    </row>
    <row r="3" spans="1:3" ht="15" customHeight="1" x14ac:dyDescent="0.25">
      <c r="A3" s="3" t="s">
        <v>11</v>
      </c>
      <c r="B3" s="3">
        <v>0</v>
      </c>
      <c r="C3" s="3" t="s">
        <v>10</v>
      </c>
    </row>
    <row r="4" spans="1:3" ht="15" customHeight="1" x14ac:dyDescent="0.25">
      <c r="A4" s="3" t="s">
        <v>12</v>
      </c>
      <c r="B4" s="3">
        <v>0</v>
      </c>
      <c r="C4" s="3" t="s">
        <v>13</v>
      </c>
    </row>
    <row r="5" spans="1:3" ht="15" customHeight="1" x14ac:dyDescent="0.25">
      <c r="A5" s="3" t="s">
        <v>14</v>
      </c>
      <c r="B5" s="3">
        <v>0</v>
      </c>
      <c r="C5" s="3" t="s">
        <v>10</v>
      </c>
    </row>
    <row r="6" spans="1:3" ht="15" customHeight="1" x14ac:dyDescent="0.25">
      <c r="A6" s="3" t="s">
        <v>15</v>
      </c>
      <c r="B6" s="3">
        <v>0</v>
      </c>
      <c r="C6" s="3" t="s">
        <v>10</v>
      </c>
    </row>
    <row r="7" spans="1:3" ht="15" customHeight="1" x14ac:dyDescent="0.25">
      <c r="A7" s="4" t="s">
        <v>16</v>
      </c>
      <c r="B7" s="4">
        <v>0</v>
      </c>
      <c r="C7" s="4" t="s">
        <v>10</v>
      </c>
    </row>
  </sheetData>
  <pageMargins left="0.51180555555555596" right="0.51180555555555596" top="0.78749999999999998" bottom="0.78749999999999998" header="0.511811023622047" footer="0.511811023622047"/>
  <pageSetup paperSize="9" orientation="portrait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E7"/>
  <sheetViews>
    <sheetView zoomScaleNormal="100" workbookViewId="0">
      <selection activeCell="C8" sqref="C8"/>
    </sheetView>
  </sheetViews>
  <sheetFormatPr defaultColWidth="8.7109375" defaultRowHeight="15" x14ac:dyDescent="0.25"/>
  <cols>
    <col min="1" max="2" width="20" customWidth="1"/>
    <col min="3" max="3" width="26.140625" bestFit="1" customWidth="1"/>
    <col min="4" max="4" width="26.140625" customWidth="1"/>
    <col min="5" max="5" width="17.28515625" bestFit="1" customWidth="1"/>
  </cols>
  <sheetData>
    <row r="1" spans="1:5" ht="19.5" customHeight="1" x14ac:dyDescent="0.25">
      <c r="A1" s="15" t="s">
        <v>6</v>
      </c>
      <c r="B1" s="16" t="s">
        <v>53</v>
      </c>
      <c r="C1" s="16" t="s">
        <v>54</v>
      </c>
      <c r="D1" s="16" t="s">
        <v>56</v>
      </c>
      <c r="E1" s="17" t="s">
        <v>17</v>
      </c>
    </row>
    <row r="2" spans="1:5" ht="15" customHeight="1" x14ac:dyDescent="0.25">
      <c r="A2" s="5" t="s">
        <v>9</v>
      </c>
      <c r="B2">
        <v>0</v>
      </c>
      <c r="C2">
        <v>0</v>
      </c>
      <c r="D2">
        <v>0</v>
      </c>
      <c r="E2">
        <f>COUNTIF(ESCALA!$B$4:$B$8,A2)+COUNTIF(ESCALA!$C$4:$C$8,A2)</f>
        <v>1</v>
      </c>
    </row>
    <row r="3" spans="1:5" ht="15" customHeight="1" x14ac:dyDescent="0.25">
      <c r="A3" s="5" t="s">
        <v>11</v>
      </c>
      <c r="B3">
        <v>0</v>
      </c>
      <c r="C3">
        <v>0</v>
      </c>
      <c r="D3">
        <v>0</v>
      </c>
      <c r="E3">
        <f>COUNTIF(ESCALA!$B$4:$B$8,A3)+COUNTIF(ESCALA!$C$4:$C$8,A3)</f>
        <v>1</v>
      </c>
    </row>
    <row r="4" spans="1:5" ht="15" customHeight="1" x14ac:dyDescent="0.25">
      <c r="A4" s="5" t="s">
        <v>12</v>
      </c>
      <c r="B4">
        <v>0</v>
      </c>
      <c r="C4">
        <v>0</v>
      </c>
      <c r="D4">
        <v>0</v>
      </c>
      <c r="E4">
        <f>COUNTIF(ESCALA!$B$4:$B$8,A4)+COUNTIF(ESCALA!$C$4:$C$8,A4)</f>
        <v>1</v>
      </c>
    </row>
    <row r="5" spans="1:5" ht="15" customHeight="1" x14ac:dyDescent="0.25">
      <c r="A5" s="5" t="s">
        <v>14</v>
      </c>
      <c r="B5">
        <v>0</v>
      </c>
      <c r="C5">
        <v>0</v>
      </c>
      <c r="D5">
        <v>0</v>
      </c>
      <c r="E5">
        <f>COUNTIF(ESCALA!$B$4:$B$8,A5)+COUNTIF(ESCALA!$C$4:$C$8,A5)</f>
        <v>1</v>
      </c>
    </row>
    <row r="6" spans="1:5" ht="15" customHeight="1" x14ac:dyDescent="0.25">
      <c r="A6" s="5" t="s">
        <v>15</v>
      </c>
      <c r="B6">
        <v>0</v>
      </c>
      <c r="C6">
        <v>0</v>
      </c>
      <c r="D6">
        <v>0</v>
      </c>
      <c r="E6">
        <f>COUNTIF(ESCALA!$B$4:$B$8,A6)+COUNTIF(ESCALA!$C$4:$C$8,A6)</f>
        <v>1</v>
      </c>
    </row>
    <row r="7" spans="1:5" ht="15" customHeight="1" x14ac:dyDescent="0.25">
      <c r="A7" s="5" t="s">
        <v>16</v>
      </c>
      <c r="B7">
        <v>0</v>
      </c>
      <c r="C7">
        <v>0</v>
      </c>
      <c r="D7">
        <v>0</v>
      </c>
      <c r="E7">
        <f>COUNTIF(ESCALA!$B$4:$B$8,A7)+COUNTIF(ESCALA!$C$4:$C$8,A7)</f>
        <v>1</v>
      </c>
    </row>
  </sheetData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A87C2-54A1-4828-BB1D-F43C091C202B}">
  <sheetPr codeName="Planilha7"/>
  <dimension ref="A1:D7"/>
  <sheetViews>
    <sheetView tabSelected="1" zoomScale="85" zoomScaleNormal="85" workbookViewId="0">
      <selection activeCell="J32" sqref="J32"/>
    </sheetView>
  </sheetViews>
  <sheetFormatPr defaultRowHeight="15" x14ac:dyDescent="0.25"/>
  <cols>
    <col min="1" max="1" width="16.7109375" bestFit="1" customWidth="1"/>
    <col min="4" max="4" width="9.42578125" customWidth="1"/>
    <col min="10" max="27" width="19.5703125" bestFit="1" customWidth="1"/>
    <col min="28" max="28" width="19.7109375" bestFit="1" customWidth="1"/>
    <col min="29" max="29" width="19.85546875" bestFit="1" customWidth="1"/>
    <col min="30" max="30" width="20.42578125" bestFit="1" customWidth="1"/>
  </cols>
  <sheetData>
    <row r="1" spans="1:4" x14ac:dyDescent="0.25">
      <c r="A1" t="s">
        <v>58</v>
      </c>
      <c r="B1" s="11" t="s">
        <v>59</v>
      </c>
      <c r="C1" s="11" t="s">
        <v>60</v>
      </c>
      <c r="D1" s="11" t="s">
        <v>61</v>
      </c>
    </row>
    <row r="2" spans="1:4" x14ac:dyDescent="0.25">
      <c r="A2" t="s">
        <v>9</v>
      </c>
      <c r="B2">
        <v>0</v>
      </c>
      <c r="C2">
        <v>0</v>
      </c>
      <c r="D2">
        <v>0</v>
      </c>
    </row>
    <row r="3" spans="1:4" x14ac:dyDescent="0.25">
      <c r="A3" t="s">
        <v>11</v>
      </c>
      <c r="B3">
        <v>0</v>
      </c>
      <c r="C3">
        <v>0</v>
      </c>
      <c r="D3">
        <v>0</v>
      </c>
    </row>
    <row r="4" spans="1:4" x14ac:dyDescent="0.25">
      <c r="A4" t="s">
        <v>12</v>
      </c>
      <c r="B4">
        <v>0</v>
      </c>
      <c r="C4">
        <v>0</v>
      </c>
      <c r="D4">
        <v>0</v>
      </c>
    </row>
    <row r="5" spans="1:4" x14ac:dyDescent="0.25">
      <c r="A5" t="s">
        <v>14</v>
      </c>
      <c r="B5">
        <v>0</v>
      </c>
      <c r="C5">
        <v>0</v>
      </c>
      <c r="D5">
        <v>0</v>
      </c>
    </row>
    <row r="6" spans="1:4" x14ac:dyDescent="0.25">
      <c r="A6" t="s">
        <v>15</v>
      </c>
      <c r="B6">
        <v>0</v>
      </c>
      <c r="C6">
        <v>0</v>
      </c>
      <c r="D6">
        <v>0</v>
      </c>
    </row>
    <row r="7" spans="1:4" x14ac:dyDescent="0.25">
      <c r="A7" t="s">
        <v>16</v>
      </c>
      <c r="B7">
        <v>0</v>
      </c>
      <c r="C7">
        <v>0</v>
      </c>
      <c r="D7"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D19"/>
  <sheetViews>
    <sheetView zoomScaleNormal="100" workbookViewId="0">
      <selection activeCell="C15" sqref="C15"/>
    </sheetView>
  </sheetViews>
  <sheetFormatPr defaultColWidth="8.7109375" defaultRowHeight="15" x14ac:dyDescent="0.25"/>
  <cols>
    <col min="1" max="1" width="15.28515625" customWidth="1"/>
    <col min="2" max="2" width="26.42578125" customWidth="1"/>
    <col min="3" max="3" width="37.28515625" customWidth="1"/>
    <col min="4" max="4" width="21.85546875" customWidth="1"/>
  </cols>
  <sheetData>
    <row r="1" spans="1:4" ht="19.5" customHeight="1" x14ac:dyDescent="0.25">
      <c r="A1" s="6" t="s">
        <v>1</v>
      </c>
      <c r="B1" s="1" t="s">
        <v>18</v>
      </c>
      <c r="C1" s="7" t="s">
        <v>19</v>
      </c>
      <c r="D1" s="6" t="s">
        <v>20</v>
      </c>
    </row>
    <row r="2" spans="1:4" ht="15" customHeight="1" x14ac:dyDescent="0.25">
      <c r="A2" s="8">
        <v>46023</v>
      </c>
      <c r="B2" s="5" t="s">
        <v>21</v>
      </c>
      <c r="C2" s="5" t="s">
        <v>22</v>
      </c>
      <c r="D2" s="5" t="s">
        <v>23</v>
      </c>
    </row>
    <row r="3" spans="1:4" ht="15" customHeight="1" x14ac:dyDescent="0.25">
      <c r="A3" s="8">
        <v>46024</v>
      </c>
      <c r="B3" s="5" t="s">
        <v>24</v>
      </c>
      <c r="C3" s="5" t="s">
        <v>25</v>
      </c>
      <c r="D3" s="5" t="s">
        <v>26</v>
      </c>
    </row>
    <row r="4" spans="1:4" ht="15" customHeight="1" x14ac:dyDescent="0.25">
      <c r="A4" s="8">
        <v>46069</v>
      </c>
      <c r="B4" s="5" t="s">
        <v>27</v>
      </c>
      <c r="C4" s="5" t="s">
        <v>28</v>
      </c>
      <c r="D4" s="5" t="s">
        <v>23</v>
      </c>
    </row>
    <row r="5" spans="1:4" ht="15" customHeight="1" x14ac:dyDescent="0.25">
      <c r="A5" s="8">
        <v>46070</v>
      </c>
      <c r="B5" s="5" t="s">
        <v>29</v>
      </c>
      <c r="C5" s="5" t="s">
        <v>28</v>
      </c>
      <c r="D5" s="5" t="s">
        <v>23</v>
      </c>
    </row>
    <row r="6" spans="1:4" ht="15" customHeight="1" x14ac:dyDescent="0.25">
      <c r="A6" s="8">
        <v>46069</v>
      </c>
      <c r="B6" s="5" t="s">
        <v>27</v>
      </c>
      <c r="C6" s="5" t="s">
        <v>30</v>
      </c>
      <c r="D6" s="5" t="s">
        <v>26</v>
      </c>
    </row>
    <row r="7" spans="1:4" ht="15" customHeight="1" x14ac:dyDescent="0.25">
      <c r="A7" s="8">
        <v>46071</v>
      </c>
      <c r="B7" s="5" t="s">
        <v>31</v>
      </c>
      <c r="C7" s="5" t="s">
        <v>32</v>
      </c>
      <c r="D7" s="5" t="s">
        <v>33</v>
      </c>
    </row>
    <row r="8" spans="1:4" ht="15" customHeight="1" x14ac:dyDescent="0.25">
      <c r="A8" s="8">
        <v>46115</v>
      </c>
      <c r="B8" s="5" t="s">
        <v>24</v>
      </c>
      <c r="C8" s="5" t="s">
        <v>34</v>
      </c>
      <c r="D8" s="5" t="s">
        <v>23</v>
      </c>
    </row>
    <row r="9" spans="1:4" ht="15" customHeight="1" x14ac:dyDescent="0.25">
      <c r="A9" s="8">
        <v>46132</v>
      </c>
      <c r="B9" s="5" t="s">
        <v>27</v>
      </c>
      <c r="C9" s="5" t="s">
        <v>35</v>
      </c>
      <c r="D9" s="5" t="s">
        <v>26</v>
      </c>
    </row>
    <row r="10" spans="1:4" ht="15" customHeight="1" x14ac:dyDescent="0.25">
      <c r="A10" s="8">
        <v>46133</v>
      </c>
      <c r="B10" s="5" t="s">
        <v>29</v>
      </c>
      <c r="C10" s="5" t="s">
        <v>36</v>
      </c>
      <c r="D10" s="5" t="s">
        <v>23</v>
      </c>
    </row>
    <row r="11" spans="1:4" ht="15" customHeight="1" x14ac:dyDescent="0.25">
      <c r="A11" s="8">
        <v>46143</v>
      </c>
      <c r="B11" s="5" t="s">
        <v>24</v>
      </c>
      <c r="C11" s="5" t="s">
        <v>37</v>
      </c>
      <c r="D11" s="5" t="s">
        <v>23</v>
      </c>
    </row>
    <row r="12" spans="1:4" ht="15" customHeight="1" x14ac:dyDescent="0.25">
      <c r="A12" s="8">
        <v>46177</v>
      </c>
      <c r="B12" s="5" t="s">
        <v>21</v>
      </c>
      <c r="C12" s="5" t="s">
        <v>38</v>
      </c>
      <c r="D12" s="5" t="s">
        <v>33</v>
      </c>
    </row>
    <row r="13" spans="1:4" ht="15" customHeight="1" x14ac:dyDescent="0.25">
      <c r="A13" s="8">
        <v>46178</v>
      </c>
      <c r="B13" s="5" t="s">
        <v>24</v>
      </c>
      <c r="C13" s="5" t="s">
        <v>39</v>
      </c>
      <c r="D13" s="5" t="s">
        <v>26</v>
      </c>
    </row>
    <row r="14" spans="1:4" ht="15" customHeight="1" x14ac:dyDescent="0.25">
      <c r="A14" s="8">
        <v>46272</v>
      </c>
      <c r="B14" s="5" t="s">
        <v>27</v>
      </c>
      <c r="C14" s="5" t="s">
        <v>40</v>
      </c>
      <c r="D14" s="5" t="s">
        <v>23</v>
      </c>
    </row>
    <row r="15" spans="1:4" ht="15" customHeight="1" x14ac:dyDescent="0.25">
      <c r="A15" s="8">
        <v>46307</v>
      </c>
      <c r="B15" s="5" t="s">
        <v>27</v>
      </c>
      <c r="C15" s="5" t="s">
        <v>41</v>
      </c>
      <c r="D15" s="5" t="s">
        <v>23</v>
      </c>
    </row>
    <row r="16" spans="1:4" ht="15" customHeight="1" x14ac:dyDescent="0.25">
      <c r="A16" s="8">
        <v>46328</v>
      </c>
      <c r="B16" s="5" t="s">
        <v>27</v>
      </c>
      <c r="C16" s="5" t="s">
        <v>42</v>
      </c>
      <c r="D16" s="5" t="s">
        <v>23</v>
      </c>
    </row>
    <row r="17" spans="1:4" ht="15" customHeight="1" x14ac:dyDescent="0.25">
      <c r="A17" s="8">
        <v>46341</v>
      </c>
      <c r="B17" s="5" t="s">
        <v>43</v>
      </c>
      <c r="C17" s="5" t="s">
        <v>44</v>
      </c>
      <c r="D17" s="5" t="s">
        <v>23</v>
      </c>
    </row>
    <row r="18" spans="1:4" ht="15" customHeight="1" x14ac:dyDescent="0.25">
      <c r="A18" s="8">
        <v>46346</v>
      </c>
      <c r="B18" s="5" t="s">
        <v>24</v>
      </c>
      <c r="C18" s="5" t="s">
        <v>45</v>
      </c>
      <c r="D18" s="5" t="s">
        <v>23</v>
      </c>
    </row>
    <row r="19" spans="1:4" ht="15" customHeight="1" x14ac:dyDescent="0.25">
      <c r="A19" s="8">
        <v>46381</v>
      </c>
      <c r="B19" s="5" t="s">
        <v>24</v>
      </c>
      <c r="C19" s="5" t="s">
        <v>46</v>
      </c>
      <c r="D19" s="5" t="s">
        <v>23</v>
      </c>
    </row>
  </sheetData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6"/>
  <sheetViews>
    <sheetView zoomScaleNormal="100" workbookViewId="0"/>
  </sheetViews>
  <sheetFormatPr defaultColWidth="8.7109375" defaultRowHeight="15" x14ac:dyDescent="0.25"/>
  <cols>
    <col min="1" max="1" width="10.7109375" bestFit="1" customWidth="1"/>
  </cols>
  <sheetData>
    <row r="1" spans="1:3" x14ac:dyDescent="0.25">
      <c r="A1" s="9">
        <f>ESCALA!C1</f>
        <v>46132</v>
      </c>
    </row>
    <row r="2" spans="1:3" x14ac:dyDescent="0.25">
      <c r="A2" s="9">
        <f>A$1-WEEKDAY(A$1,3)+0</f>
        <v>46132</v>
      </c>
      <c r="B2" t="s">
        <v>47</v>
      </c>
      <c r="C2" t="str">
        <f>IF(COUNTIF('FERIADOS + FOLGAS'!$A:$A,A2)&gt;0,"BLOQUEADO","OK")</f>
        <v>BLOQUEADO</v>
      </c>
    </row>
    <row r="3" spans="1:3" x14ac:dyDescent="0.25">
      <c r="A3" s="9">
        <f>A$1-WEEKDAY(A$1,3)+1</f>
        <v>46133</v>
      </c>
      <c r="B3" t="s">
        <v>48</v>
      </c>
      <c r="C3" t="str">
        <f>IF(COUNTIF('FERIADOS + FOLGAS'!$A:$A,A3)&gt;0,"BLOQUEADO","OK")</f>
        <v>BLOQUEADO</v>
      </c>
    </row>
    <row r="4" spans="1:3" x14ac:dyDescent="0.25">
      <c r="A4" s="9">
        <f>A$1-WEEKDAY(A$1,3)+2</f>
        <v>46134</v>
      </c>
      <c r="B4" t="s">
        <v>49</v>
      </c>
      <c r="C4" t="str">
        <f>IF(COUNTIF('FERIADOS + FOLGAS'!$A:$A,A4)&gt;0,"BLOQUEADO","OK")</f>
        <v>OK</v>
      </c>
    </row>
    <row r="5" spans="1:3" x14ac:dyDescent="0.25">
      <c r="A5" s="9">
        <f>A$1-WEEKDAY(A$1,3)+3</f>
        <v>46135</v>
      </c>
      <c r="B5" t="s">
        <v>50</v>
      </c>
      <c r="C5" t="str">
        <f>IF(COUNTIF('FERIADOS + FOLGAS'!$A:$A,A5)&gt;0,"BLOQUEADO","OK")</f>
        <v>OK</v>
      </c>
    </row>
    <row r="6" spans="1:3" x14ac:dyDescent="0.25">
      <c r="A6" s="9">
        <f>A$1-WEEKDAY(A$1,3)+4</f>
        <v>46136</v>
      </c>
      <c r="B6" t="s">
        <v>51</v>
      </c>
      <c r="C6" t="str">
        <f>IF(COUNTIF('FERIADOS + FOLGAS'!$A:$A,A6)&gt;0,"BLOQUEADO","OK")</f>
        <v>OK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"/>
  <sheetViews>
    <sheetView zoomScaleNormal="100" workbookViewId="0"/>
  </sheetViews>
  <sheetFormatPr defaultColWidth="8.7109375" defaultRowHeight="15" x14ac:dyDescent="0.25"/>
  <cols>
    <col min="1" max="1" width="100" customWidth="1"/>
  </cols>
  <sheetData>
    <row r="1" spans="1:1" ht="409.6" customHeight="1" x14ac:dyDescent="0.25">
      <c r="A1" s="10" t="s">
        <v>52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ESCALA</vt:lpstr>
      <vt:lpstr>COLABORADORES</vt:lpstr>
      <vt:lpstr>HISTORICO</vt:lpstr>
      <vt:lpstr>INDICADORES</vt:lpstr>
      <vt:lpstr>FERIADOS + FOLGAS</vt:lpstr>
      <vt:lpstr>CALC_AUX</vt:lpstr>
      <vt:lpstr>INSTRUCOES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Pedro Souza</dc:creator>
  <dc:description/>
  <cp:lastModifiedBy>Pedro Souza</cp:lastModifiedBy>
  <cp:revision>0</cp:revision>
  <dcterms:created xsi:type="dcterms:W3CDTF">2015-06-05T18:17:20Z</dcterms:created>
  <dcterms:modified xsi:type="dcterms:W3CDTF">2026-04-24T15:31:04Z</dcterms:modified>
  <dc:language>en-US</dc:language>
</cp:coreProperties>
</file>